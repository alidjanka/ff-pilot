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Übersicht beauftr. Projekte" sheetId="1" r:id="rId4"/>
  </sheets>
  <definedNames>
    <definedName hidden="1" localSheetId="0" name="_xlnm._FilterDatabase">'Übersicht beauftr. Projekte'!$A$2:$BJ$3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2">
      <text>
        <t xml:space="preserve">Leistungsfaktor Altanlage zu Neu Repowerten Anlage
</t>
      </text>
    </comment>
  </commentList>
</comments>
</file>

<file path=xl/sharedStrings.xml><?xml version="1.0" encoding="utf-8"?>
<sst xmlns="http://schemas.openxmlformats.org/spreadsheetml/2006/main" count="101" uniqueCount="97">
  <si>
    <t>Allg. Info.</t>
  </si>
  <si>
    <t>Status</t>
  </si>
  <si>
    <t>Anlagengrößen</t>
  </si>
  <si>
    <t>Expose</t>
  </si>
  <si>
    <t>Pachtangelegenheiten</t>
  </si>
  <si>
    <t>Projektentwicklung</t>
  </si>
  <si>
    <t>Vermarkter u. GU</t>
  </si>
  <si>
    <t>Finanzstatus, Fristen u. Termine</t>
  </si>
  <si>
    <t xml:space="preserve">Projektinformationen </t>
  </si>
  <si>
    <t>Bezeichnung &amp; Projektordner</t>
  </si>
  <si>
    <t>Straße</t>
  </si>
  <si>
    <t>PLZ</t>
  </si>
  <si>
    <t>Ort</t>
  </si>
  <si>
    <t>Projekt Infos</t>
  </si>
  <si>
    <t>Notizen / Stichwort </t>
  </si>
  <si>
    <t>Zust.
SM</t>
  </si>
  <si>
    <t>Zust.
PM</t>
  </si>
  <si>
    <t xml:space="preserve">Auftragsstatus </t>
  </si>
  <si>
    <t xml:space="preserve">Art des Auftrags </t>
  </si>
  <si>
    <t>Projektstatus</t>
  </si>
  <si>
    <t>Angebotsdossier</t>
  </si>
  <si>
    <t>Maklervertrag</t>
  </si>
  <si>
    <t>ALT Anlage</t>
  </si>
  <si>
    <t>Status PVSol 
F&amp;F</t>
  </si>
  <si>
    <t>Neue Anlage</t>
  </si>
  <si>
    <t>Wert ermittelt aus:</t>
  </si>
  <si>
    <t>RP Fa.</t>
  </si>
  <si>
    <t xml:space="preserve">PKK F&amp;F </t>
  </si>
  <si>
    <t>Expose
F&amp;F</t>
  </si>
  <si>
    <t>Pachtvertrag Alt</t>
  </si>
  <si>
    <t>Interesse Verlängerung Pachtvertrag</t>
  </si>
  <si>
    <t>Status Verlängerung Pachtvertrag</t>
  </si>
  <si>
    <t>Pachtvertrag
Neu</t>
  </si>
  <si>
    <t>Einspeise- anfragen
F&amp;F</t>
  </si>
  <si>
    <t>Technische Projektbewertung F&amp;F</t>
  </si>
  <si>
    <t>Wirtschaftliche Projektbewertung F&amp;F</t>
  </si>
  <si>
    <t>Statik
F&amp;F</t>
  </si>
  <si>
    <t>Brandschutz- konzept</t>
  </si>
  <si>
    <t>Flur-/ Lageplan</t>
  </si>
  <si>
    <t>Gesamt-
Dachfläche
qm</t>
  </si>
  <si>
    <t>Vergabereif</t>
  </si>
  <si>
    <t>Dienstbarkeit</t>
  </si>
  <si>
    <t>Status FLB
F&amp;F</t>
  </si>
  <si>
    <t>FLB F&amp;F</t>
  </si>
  <si>
    <t>Vermarkter</t>
  </si>
  <si>
    <t>Indikativ-
Angebote</t>
  </si>
  <si>
    <t>GU Status</t>
  </si>
  <si>
    <t>Beauftragter GU</t>
  </si>
  <si>
    <t>Realisierungsfortschritt</t>
  </si>
  <si>
    <t>Auftr.-
Wahrsch.</t>
  </si>
  <si>
    <t>Gesamt- marge €</t>
  </si>
  <si>
    <t>Marge
€/kWp</t>
  </si>
  <si>
    <t>Art der Marge</t>
  </si>
  <si>
    <t>aktueller Projekt u. Finanzstatus</t>
  </si>
  <si>
    <t>vorrauss. Verkaufsbereit</t>
  </si>
  <si>
    <t>1. Anzahlung</t>
  </si>
  <si>
    <t>1. Anz.
erh.</t>
  </si>
  <si>
    <t>vorrauss.
Vergabe an GU</t>
  </si>
  <si>
    <t>vorrauss.
Montagestart</t>
  </si>
  <si>
    <t>2. Zahlung</t>
  </si>
  <si>
    <t>2. Zah.
erh.</t>
  </si>
  <si>
    <t>vorrauss.
DC abges.</t>
  </si>
  <si>
    <t>3. Zahlung</t>
  </si>
  <si>
    <t>3. Zah.
erh.</t>
  </si>
  <si>
    <t>vorrauss.
AC abges.</t>
  </si>
  <si>
    <t>Schlusszahlung</t>
  </si>
  <si>
    <t>Schz. 
erh.</t>
  </si>
  <si>
    <t>vorrauss.
Netzgang</t>
  </si>
  <si>
    <t>Hinweise/ Notizen u. Bemerkungen zu Makler, Pacht u. weiteren Vertragsangelegnheiten</t>
  </si>
  <si>
    <t>Hinweise/ Notizen u. Bemerkungen zur Projektierung</t>
  </si>
  <si>
    <t>nächste Schritte</t>
  </si>
  <si>
    <t>Lampe</t>
  </si>
  <si>
    <t>Molkereiweg 6</t>
  </si>
  <si>
    <t>39517</t>
  </si>
  <si>
    <t>Lüderitz</t>
  </si>
  <si>
    <t>CD</t>
  </si>
  <si>
    <t>schriftl. beauftragt</t>
  </si>
  <si>
    <t>PV-Repowering</t>
  </si>
  <si>
    <t>Verkauft</t>
  </si>
  <si>
    <t>Fertiggestellt</t>
  </si>
  <si>
    <t>PV Sol</t>
  </si>
  <si>
    <t>In Bearbeitung</t>
  </si>
  <si>
    <t>Nutzungsvertrag</t>
  </si>
  <si>
    <t>Positiv</t>
  </si>
  <si>
    <t>Pachtver. Schriftlich vorh.</t>
  </si>
  <si>
    <t>Verlängerungs-
vereinbarung
signed</t>
  </si>
  <si>
    <t>Schriftlich vorh.</t>
  </si>
  <si>
    <t>Technisch attraktiv</t>
  </si>
  <si>
    <t>Wirtschaftlich attrakriv</t>
  </si>
  <si>
    <t>FLB_RP_25001</t>
  </si>
  <si>
    <t>TT Vermarktet zsm. mit FMD an die HRCG, F. Heitzer als Backup, Newsletter</t>
  </si>
  <si>
    <t>Fin. Angeb.angefr.</t>
  </si>
  <si>
    <t>90% wirtschaftl. &amp; in Sales</t>
  </si>
  <si>
    <t>geschätzte Marge</t>
  </si>
  <si>
    <t>Liqui Planung</t>
  </si>
  <si>
    <t>TT 10.10.: große Anlage gesigned, kleine Anlage in steuerlicher Prüfung. Gespräch MH 9.10. signing Mitte nächster Woche.                                                                                                                                            
CD 01.10.: Folgender Punkt zu klären: Warum wurde der HRCG 640€/kWp versprochen, wenn ein Angebot mit 650€/kWp von der DKZ vorliegt ? Siehe Eintrag FMD 08.09???
FMD 08.09.: HRCG mündlich bestellt - derzeit im docusign verlauf (vorbehaltlich Bankfinanzierung); noch zu klären: Wer ist GU, wer steuert das Projekt? Wieviel ist zu verdienen? Aktuell haben wir die Projektrechte für 150 EUR/ kwp  verkauft inkl. . Steuerung des Projektes gegegen Max Preis von XXX (950 EUR/ kWp?) derzeit Angebote über 650 EUR/kWp vorliegend (also derzeit mögiche Marge von 300 EUR statt 150 EUR/kWp  
CD 04.09.: DKZ erneut für das Angebot kontaktiert per Mail --&gt; Antwort: Angebot voraus. 05.09. 
CD 01.09.: Weiterhin kein Angebot der DKZ vorliegen, Trotz telefonischer Zusage
CD 28.08.: Angebot von der DKZ noch nicht erhalten, f/u Fr. 29.08., vorher ist Herr Zinck nicht erreichbar
CD 15.08.: Expose zur Vermarktung wurde erstellt und in der Ablage Vertrieb unter Expose Vermarktung abgelegt 
CD 07.08.: Pachtvertrag unterz. erhalten
CD 06.08.: DKZ Solar wurde angeschrieben, als ein potientieller GU, ob Sie dieses Projekt umsetzen wollen und können.
RK 06.08.: Statik  geprüft --&gt; positiv
RK 05.08.: Stute hat Verlängerungsvereinbarung unterschrieben
RK 31.07.: Statik beim Bauamt nachsehen oder bei Rajab einholen. Indikativangebot Anfragen DKZ &amp; Solarpioniere von CD
RK 25.07.: Wellfaserzemtplatten KEIN Asbest auf dem Dach - Rückfragen von Stute beantwortet - Pachtvertrag angepasst und versendet - Stute eine Woche im Urlaub - Zeichnung der Verlängerungsvereinbarung voraussichtlich 4. - 8.08.
RK 21.07.: Stute möchte Pachtvertrag erneut ändern und stimmt, stand Heute, einem Grundbucheintrag nicht zu. Stute wieder am Mittwoch zu erreichen. Wir sollten das ganze vorhaben auf einfachster Weise erklären. Die ist Dienstbarkeit unabdingbar. 
RK 03.07.: Stute möchte eine Verlängerungsvereinbarung basierend auf den alten Pachtvertrag. Erstellt und verschickt
TT 25.06.: Herr Stute will unterschreiben - ist noch nicht dazu gekommen                                               
TT 24.06.: Vorvermarktung mit Hellgrün angestossen, da Projekt gut in IAB Beuteschema passt
CW 12.05.: Wirtschaftlichkeit für Investor fraglich, Abkaufpreis zu hoch, nochmal neu rechnen
CW 08.05.: Ermessungsbogen für Netzanfrage an shams gesendet
CW 08.05.: Statikunterlagen noch nicht beim Bauamt angefragt, da keine Vollmacht des Besitzers vorliegt
CW 07.05.: Netzanfrage wird jetzt gestellt, obwohl noch keine schriftl. Dachpachtzusage da ist 
CW 02.05.: Projekt bitte vorrangig bearbeiten
CD 16.04.: altes Projekt aus 2024, Projektstatus mit Thorsten klären!</t>
  </si>
  <si>
    <t>- Finalisierung Datenraum und FLB für die Übergabe an HRCG
AS 05.11.: Vermakrtung bzw. Absprache mit Pönsgen Übergabe an Devin/Elvir</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</si>
</sst>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quot; kWp&quot;"/>
    <numFmt numFmtId="165" formatCode="#,#0&quot; €&quot;"/>
    <numFmt numFmtId="166" formatCode="#,#0&quot; €/kWp&quot;"/>
    <numFmt numFmtId="167" formatCode="mmmm.yyyy"/>
  </numFmts>
  <fonts count="17">
    <font>
      <sz val="10.0"/>
      <color rgb="FF000000"/>
      <name val="Arial"/>
      <scheme val="minor"/>
    </font>
    <font>
      <b/>
      <sz val="16.0"/>
      <color rgb="FFFFFFFF"/>
      <name val="Arial"/>
      <scheme val="minor"/>
    </font>
    <font>
      <b/>
      <sz val="14.0"/>
      <color rgb="FFFFFFFF"/>
      <name val="Roboto"/>
    </font>
    <font>
      <b/>
      <sz val="10.0"/>
      <color theme="1"/>
      <name val="Arial"/>
      <scheme val="minor"/>
    </font>
    <font>
      <b/>
      <sz val="10.0"/>
      <color theme="1"/>
      <name val="Roboto"/>
    </font>
    <font>
      <b/>
      <sz val="8.0"/>
      <color theme="1"/>
      <name val="Roboto"/>
    </font>
    <font>
      <u/>
      <sz val="10.0"/>
      <color rgb="FF434343"/>
      <name val="Roboto"/>
    </font>
    <font>
      <u/>
      <sz val="10.0"/>
      <color rgb="FF434343"/>
      <name val="Roboto"/>
    </font>
    <font>
      <sz val="10.0"/>
      <color rgb="FF434343"/>
      <name val="Roboto"/>
    </font>
    <font>
      <u/>
      <sz val="10.0"/>
      <color rgb="FF434343"/>
      <name val="Roboto"/>
    </font>
    <font>
      <u/>
      <sz val="10.0"/>
      <color rgb="FF434343"/>
      <name val="Roboto"/>
    </font>
    <font>
      <u/>
      <sz val="10.0"/>
      <color rgb="FF434343"/>
      <name val="Roboto"/>
    </font>
    <font>
      <u/>
      <sz val="10.0"/>
      <color rgb="FF434343"/>
      <name val="Roboto"/>
    </font>
    <font>
      <u/>
      <sz val="10.0"/>
      <color rgb="FF0000FF"/>
      <name val="Roboto"/>
    </font>
    <font>
      <u/>
      <sz val="10.0"/>
      <color rgb="FF0000FF"/>
      <name val="Roboto"/>
    </font>
    <font>
      <color rgb="FF434343"/>
      <name val="Arial"/>
      <scheme val="minor"/>
    </font>
    <font>
      <color theme="1"/>
      <name val="Arial"/>
      <scheme val="minor"/>
    </font>
  </fonts>
  <fills count="10">
    <fill>
      <patternFill patternType="none"/>
    </fill>
    <fill>
      <patternFill patternType="lightGray"/>
    </fill>
    <fill>
      <patternFill patternType="solid">
        <fgColor rgb="FF0B56A5"/>
        <bgColor rgb="FF0B56A5"/>
      </patternFill>
    </fill>
    <fill>
      <patternFill patternType="solid">
        <fgColor rgb="FFFF9900"/>
        <bgColor rgb="FFFF9900"/>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D9D2E9"/>
        <bgColor rgb="FFD9D2E9"/>
      </patternFill>
    </fill>
    <fill>
      <patternFill patternType="solid">
        <fgColor rgb="FFF4CCCC"/>
        <bgColor rgb="FFF4CCCC"/>
      </patternFill>
    </fill>
    <fill>
      <patternFill patternType="solid">
        <fgColor rgb="FFCFE2F3"/>
        <bgColor rgb="FFCFE2F3"/>
      </patternFill>
    </fill>
  </fills>
  <borders count="1">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2" numFmtId="0" xfId="0" applyAlignment="1" applyFont="1">
      <alignment horizontal="left" readingOrder="0" shrinkToFit="0" vertical="center" wrapText="1"/>
    </xf>
    <xf borderId="0" fillId="2" fontId="2" numFmtId="0" xfId="0" applyAlignment="1" applyFont="1">
      <alignment horizontal="center" readingOrder="0" shrinkToFit="0" vertical="center" wrapText="1"/>
    </xf>
    <xf borderId="0" fillId="2" fontId="3" numFmtId="0" xfId="0" applyAlignment="1" applyFont="1">
      <alignment horizontal="center" readingOrder="0" shrinkToFit="0" vertical="center" wrapText="1"/>
    </xf>
    <xf borderId="0" fillId="2" fontId="2" numFmtId="0" xfId="0" applyAlignment="1" applyFont="1">
      <alignment horizontal="center" readingOrder="0" shrinkToFit="0" vertical="center" wrapText="1"/>
    </xf>
    <xf borderId="0" fillId="2" fontId="2" numFmtId="0" xfId="0" applyAlignment="1" applyFont="1">
      <alignment horizontal="left" readingOrder="0" shrinkToFit="0" vertical="center" wrapText="1"/>
    </xf>
    <xf borderId="0" fillId="2" fontId="3" numFmtId="0" xfId="0" applyAlignment="1" applyFont="1">
      <alignment horizontal="left" readingOrder="0" shrinkToFit="0" vertical="center" wrapText="1"/>
    </xf>
    <xf borderId="0" fillId="2" fontId="3" numFmtId="0" xfId="0" applyAlignment="1" applyFont="1">
      <alignment horizontal="left" readingOrder="0" shrinkToFit="0" vertical="center" wrapText="1"/>
    </xf>
    <xf borderId="0" fillId="2" fontId="3" numFmtId="0" xfId="0" applyAlignment="1" applyFont="1">
      <alignment horizontal="center" readingOrder="0" shrinkToFit="0" vertical="center" wrapText="1"/>
    </xf>
    <xf borderId="0" fillId="2" fontId="3" numFmtId="0" xfId="0" applyAlignment="1" applyFont="1">
      <alignment horizontal="center" readingOrder="0" shrinkToFit="0" vertical="center" wrapText="1"/>
    </xf>
    <xf borderId="0" fillId="2" fontId="3" numFmtId="0" xfId="0" applyAlignment="1" applyFont="1">
      <alignment horizontal="center" readingOrder="0" shrinkToFit="0" vertical="center" wrapText="1"/>
    </xf>
    <xf borderId="0" fillId="2" fontId="4" numFmtId="0" xfId="0" applyAlignment="1" applyFont="1">
      <alignment horizontal="center" readingOrder="0" shrinkToFit="0" vertical="center" wrapText="1"/>
    </xf>
    <xf borderId="0" fillId="2" fontId="5" numFmtId="0" xfId="0" applyAlignment="1" applyFont="1">
      <alignment horizontal="center" readingOrder="0" shrinkToFit="0" vertical="center" wrapText="1"/>
    </xf>
    <xf borderId="0" fillId="2" fontId="4" numFmtId="0" xfId="0" applyAlignment="1" applyFont="1">
      <alignment horizontal="left" readingOrder="0" shrinkToFit="0" vertical="center" wrapText="1"/>
    </xf>
    <xf borderId="0" fillId="0" fontId="6" numFmtId="49" xfId="0" applyAlignment="1" applyFont="1" applyNumberFormat="1">
      <alignment readingOrder="0" shrinkToFit="0" vertical="center" wrapText="0"/>
    </xf>
    <xf borderId="0" fillId="0" fontId="7" numFmtId="49" xfId="0" applyAlignment="1" applyFont="1" applyNumberFormat="1">
      <alignment horizontal="center" readingOrder="0" shrinkToFit="0" vertical="center" wrapText="0"/>
    </xf>
    <xf borderId="0" fillId="0" fontId="8" numFmtId="49" xfId="0" applyAlignment="1" applyFont="1" applyNumberFormat="1">
      <alignment readingOrder="0" shrinkToFit="0" vertical="center" wrapText="0"/>
    </xf>
    <xf borderId="0" fillId="0" fontId="8" numFmtId="49" xfId="0" applyAlignment="1" applyFont="1" applyNumberFormat="1">
      <alignment horizontal="left" readingOrder="0" shrinkToFit="0" vertical="center" wrapText="0"/>
    </xf>
    <xf borderId="0" fillId="0" fontId="8" numFmtId="0" xfId="0" applyAlignment="1" applyFont="1">
      <alignment horizontal="center" readingOrder="0" shrinkToFit="0" vertical="center" wrapText="0"/>
    </xf>
    <xf borderId="0" fillId="0" fontId="8" numFmtId="0" xfId="0" applyAlignment="1" applyFont="1">
      <alignment horizontal="center" readingOrder="0" shrinkToFit="0" vertical="center" wrapText="0"/>
    </xf>
    <xf borderId="0" fillId="0" fontId="8" numFmtId="0" xfId="0" applyAlignment="1" applyFont="1">
      <alignment readingOrder="0" shrinkToFit="0" vertical="center" wrapText="0"/>
    </xf>
    <xf borderId="0" fillId="0" fontId="8" numFmtId="0" xfId="0" applyAlignment="1" applyFont="1">
      <alignment readingOrder="0" shrinkToFit="0" vertical="center" wrapText="1"/>
    </xf>
    <xf borderId="0" fillId="0" fontId="8" numFmtId="164" xfId="0" applyAlignment="1" applyFont="1" applyNumberFormat="1">
      <alignment readingOrder="0" shrinkToFit="0" vertical="center" wrapText="0"/>
    </xf>
    <xf borderId="0" fillId="0" fontId="8" numFmtId="164" xfId="0" applyAlignment="1" applyFont="1" applyNumberFormat="1">
      <alignment horizontal="center" readingOrder="0" shrinkToFit="0" vertical="center" wrapText="0"/>
    </xf>
    <xf borderId="0" fillId="0" fontId="8" numFmtId="0" xfId="0" applyAlignment="1" applyFont="1">
      <alignment horizontal="center" readingOrder="0" shrinkToFit="0" vertical="center" wrapText="1"/>
    </xf>
    <xf borderId="0" fillId="0" fontId="9" numFmtId="164" xfId="0" applyAlignment="1" applyFont="1" applyNumberFormat="1">
      <alignment horizontal="center" readingOrder="0" shrinkToFit="0" vertical="center" wrapText="0"/>
    </xf>
    <xf borderId="0" fillId="0" fontId="8" numFmtId="0" xfId="0" applyAlignment="1" applyFont="1">
      <alignment horizontal="left" readingOrder="0" shrinkToFit="0" vertical="center" wrapText="0"/>
    </xf>
    <xf borderId="0" fillId="0" fontId="8" numFmtId="4" xfId="0" applyAlignment="1" applyFont="1" applyNumberFormat="1">
      <alignment horizontal="center" readingOrder="0" shrinkToFit="0" vertical="center" wrapText="0"/>
    </xf>
    <xf borderId="0" fillId="0" fontId="10" numFmtId="0" xfId="0" applyAlignment="1" applyFont="1">
      <alignment horizontal="center" readingOrder="0" shrinkToFit="0" vertical="center" wrapText="1"/>
    </xf>
    <xf borderId="0" fillId="0" fontId="11" numFmtId="0" xfId="0" applyAlignment="1" applyFont="1">
      <alignment horizontal="center" readingOrder="0" shrinkToFit="0" vertical="center" wrapText="0"/>
    </xf>
    <xf borderId="0" fillId="0" fontId="12" numFmtId="0" xfId="0" applyAlignment="1" applyFont="1">
      <alignment horizontal="center" readingOrder="0" shrinkToFit="0" vertical="center" wrapText="1"/>
    </xf>
    <xf borderId="0" fillId="0" fontId="13" numFmtId="0" xfId="0" applyAlignment="1" applyFont="1">
      <alignment horizontal="center" readingOrder="0" shrinkToFit="0" vertical="center" wrapText="0"/>
    </xf>
    <xf borderId="0" fillId="0" fontId="8" numFmtId="0" xfId="0" applyAlignment="1" applyFont="1">
      <alignment shrinkToFit="0" vertical="center" wrapText="0"/>
    </xf>
    <xf borderId="0" fillId="0" fontId="8" numFmtId="0" xfId="0" applyAlignment="1" applyFont="1">
      <alignment horizontal="right" shrinkToFit="0" vertical="center" wrapText="0"/>
    </xf>
    <xf borderId="0" fillId="0" fontId="8" numFmtId="49" xfId="0" applyAlignment="1" applyFont="1" applyNumberFormat="1">
      <alignment shrinkToFit="0" vertical="center" wrapText="0"/>
    </xf>
    <xf borderId="0" fillId="0" fontId="8" numFmtId="0" xfId="0" applyAlignment="1" applyFont="1">
      <alignment horizontal="center" readingOrder="0" shrinkToFit="0" vertical="center" wrapText="0"/>
    </xf>
    <xf borderId="0" fillId="0" fontId="14" numFmtId="0" xfId="0" applyAlignment="1" applyFont="1">
      <alignment horizontal="center" readingOrder="0" shrinkToFit="0" vertical="center" wrapText="0"/>
    </xf>
    <xf borderId="0" fillId="0" fontId="8"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0"/>
    </xf>
    <xf borderId="0" fillId="0" fontId="8" numFmtId="9" xfId="0" applyAlignment="1" applyFont="1" applyNumberFormat="1">
      <alignment horizontal="center" readingOrder="0" shrinkToFit="0" vertical="center" wrapText="0"/>
    </xf>
    <xf borderId="0" fillId="3" fontId="8" numFmtId="165" xfId="0" applyAlignment="1" applyFill="1" applyFont="1" applyNumberFormat="1">
      <alignment horizontal="center" readingOrder="0" shrinkToFit="0" vertical="center" wrapText="0"/>
    </xf>
    <xf borderId="0" fillId="0" fontId="15" numFmtId="166" xfId="0" applyAlignment="1" applyFont="1" applyNumberFormat="1">
      <alignment horizontal="center" readingOrder="0" shrinkToFit="0" vertical="center" wrapText="0"/>
    </xf>
    <xf borderId="0" fillId="4" fontId="8" numFmtId="167" xfId="0" applyAlignment="1" applyFill="1" applyFont="1" applyNumberFormat="1">
      <alignment horizontal="center" readingOrder="0" shrinkToFit="0" vertical="center" wrapText="0"/>
    </xf>
    <xf borderId="0" fillId="5" fontId="15" numFmtId="165" xfId="0" applyAlignment="1" applyFill="1" applyFont="1" applyNumberFormat="1">
      <alignment horizontal="center" readingOrder="0" shrinkToFit="0" vertical="center" wrapText="0"/>
    </xf>
    <xf borderId="0" fillId="5" fontId="15" numFmtId="0" xfId="0" applyAlignment="1" applyFont="1">
      <alignment horizontal="center" readingOrder="0" shrinkToFit="0" vertical="center" wrapText="0"/>
    </xf>
    <xf borderId="0" fillId="5" fontId="8" numFmtId="167" xfId="0" applyAlignment="1" applyFont="1" applyNumberFormat="1">
      <alignment horizontal="center" readingOrder="0" shrinkToFit="0" vertical="center" wrapText="0"/>
    </xf>
    <xf borderId="0" fillId="6" fontId="8" numFmtId="0" xfId="0" applyAlignment="1" applyFill="1" applyFont="1">
      <alignment horizontal="center" readingOrder="0" shrinkToFit="0" vertical="center" wrapText="0"/>
    </xf>
    <xf borderId="0" fillId="7" fontId="15" numFmtId="165" xfId="0" applyAlignment="1" applyFill="1" applyFont="1" applyNumberFormat="1">
      <alignment horizontal="center" readingOrder="0" shrinkToFit="0" vertical="center" wrapText="0"/>
    </xf>
    <xf borderId="0" fillId="7" fontId="15" numFmtId="0" xfId="0" applyAlignment="1" applyFont="1">
      <alignment horizontal="center" readingOrder="0" shrinkToFit="0" vertical="center" wrapText="0"/>
    </xf>
    <xf borderId="0" fillId="7" fontId="8" numFmtId="0" xfId="0" applyAlignment="1" applyFont="1">
      <alignment horizontal="center" readingOrder="0" shrinkToFit="0" vertical="center" wrapText="0"/>
    </xf>
    <xf borderId="0" fillId="8" fontId="15" numFmtId="165" xfId="0" applyAlignment="1" applyFill="1" applyFont="1" applyNumberFormat="1">
      <alignment horizontal="center" readingOrder="0" shrinkToFit="0" vertical="center" wrapText="0"/>
    </xf>
    <xf borderId="0" fillId="8" fontId="15" numFmtId="0" xfId="0" applyAlignment="1" applyFont="1">
      <alignment horizontal="center" readingOrder="0" shrinkToFit="0" vertical="center" wrapText="0"/>
    </xf>
    <xf borderId="0" fillId="8" fontId="8" numFmtId="0" xfId="0" applyAlignment="1" applyFont="1">
      <alignment horizontal="center" readingOrder="0" shrinkToFit="0" vertical="center" wrapText="0"/>
    </xf>
    <xf borderId="0" fillId="9" fontId="15" numFmtId="165" xfId="0" applyAlignment="1" applyFill="1" applyFont="1" applyNumberFormat="1">
      <alignment horizontal="center" readingOrder="0" shrinkToFit="0" vertical="center" wrapText="0"/>
    </xf>
    <xf borderId="0" fillId="9" fontId="15" numFmtId="0" xfId="0" applyAlignment="1" applyFont="1">
      <alignment horizontal="center" readingOrder="0" shrinkToFit="0" vertical="center" wrapText="0"/>
    </xf>
    <xf borderId="0" fillId="9" fontId="8" numFmtId="0" xfId="0" applyAlignment="1" applyFont="1">
      <alignment horizontal="center" readingOrder="0" shrinkToFit="0" vertical="center" wrapText="0"/>
    </xf>
    <xf borderId="0" fillId="0" fontId="16" numFmtId="49" xfId="0" applyAlignment="1" applyFont="1" applyNumberFormat="1">
      <alignment shrinkToFit="0" vertical="center" wrapText="0"/>
    </xf>
    <xf borderId="0" fillId="0" fontId="8" numFmtId="0" xfId="0" applyAlignment="1" applyFont="1">
      <alignment readingOrder="0" shrinkToFit="0" vertical="top" wrapText="0"/>
    </xf>
  </cellXfs>
  <cellStyles count="1">
    <cellStyle xfId="0" name="Normal" builtinId="0"/>
  </cellStyles>
  <dxfs count="10">
    <dxf>
      <font/>
      <fill>
        <patternFill patternType="solid">
          <fgColor rgb="FFF9CB9C"/>
          <bgColor rgb="FFF9CB9C"/>
        </patternFill>
      </fill>
      <border/>
    </dxf>
    <dxf>
      <font/>
      <fill>
        <patternFill patternType="solid">
          <fgColor rgb="FFE06666"/>
          <bgColor rgb="FFE06666"/>
        </patternFill>
      </fill>
      <border/>
    </dxf>
    <dxf>
      <font/>
      <fill>
        <patternFill patternType="solid">
          <fgColor rgb="FFB6D7A8"/>
          <bgColor rgb="FFB6D7A8"/>
        </patternFill>
      </fill>
      <border/>
    </dxf>
    <dxf>
      <font/>
      <fill>
        <patternFill patternType="solid">
          <fgColor rgb="FFA4C2F4"/>
          <bgColor rgb="FFA4C2F4"/>
        </patternFill>
      </fill>
      <border/>
    </dxf>
    <dxf>
      <font/>
      <fill>
        <patternFill patternType="solid">
          <fgColor rgb="FFEA9999"/>
          <bgColor rgb="FFEA9999"/>
        </patternFill>
      </fill>
      <border/>
    </dxf>
    <dxf>
      <font/>
      <fill>
        <patternFill patternType="none"/>
      </fill>
      <border/>
    </dxf>
    <dxf>
      <font/>
      <fill>
        <patternFill patternType="solid">
          <fgColor rgb="FF0B56A5"/>
          <bgColor rgb="FF0B56A5"/>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0B56A5"/>
        </left>
        <right style="thin">
          <color rgb="FF0B56A5"/>
        </right>
        <top style="thin">
          <color rgb="FF0B56A5"/>
        </top>
        <bottom style="thin">
          <color rgb="FF0B56A5"/>
        </bottom>
      </border>
    </dxf>
  </dxfs>
  <tableStyles count="1">
    <tableStyle count="4" pivot="0" name="Übersicht beauftr. Projekte-style">
      <tableStyleElement dxfId="6" type="headerRow"/>
      <tableStyleElement dxfId="7" type="firstRowStripe"/>
      <tableStyleElement dxfId="8" type="secondRowStripe"/>
      <tableStyleElement dxfId="9"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BJ3" displayName="Übersicht_Projekte" name="Übersicht_Projekte" id="1">
  <autoFilter ref="$A$2:$BJ$3"/>
  <tableColumns count="62">
    <tableColumn name="Bezeichnung &amp; Projektordner" id="1"/>
    <tableColumn name="Straße" id="2"/>
    <tableColumn name="PLZ" id="3"/>
    <tableColumn name="Ort" id="4"/>
    <tableColumn name="Projekt Infos" id="5"/>
    <tableColumn name="Notizen / Stichwort " id="6"/>
    <tableColumn name="Zust._x000a_SM" id="7"/>
    <tableColumn name="Zust._x000a_PM" id="8"/>
    <tableColumn name="Auftragsstatus " id="9"/>
    <tableColumn name="Art des Auftrags " id="10"/>
    <tableColumn name="Projektstatus" id="11"/>
    <tableColumn name="Angebotsdossier" id="12"/>
    <tableColumn name="Maklervertrag" id="13"/>
    <tableColumn name="ALT Anlage" id="14"/>
    <tableColumn name="Status PVSol _x000a_F&amp;F" id="15"/>
    <tableColumn name="Neue Anlage" id="16"/>
    <tableColumn name="Wert ermittelt aus:" id="17"/>
    <tableColumn name="RP Fa." id="18"/>
    <tableColumn name="PKK F&amp;F " id="19"/>
    <tableColumn name="Expose_x000a_F&amp;F" id="20"/>
    <tableColumn name="Pachtvertrag Alt" id="21"/>
    <tableColumn name="Interesse Verlängerung Pachtvertrag" id="22"/>
    <tableColumn name="Status Verlängerung Pachtvertrag" id="23"/>
    <tableColumn name="Pachtvertrag_x000a_Neu" id="24"/>
    <tableColumn name="Einspeise- anfragen_x000a_F&amp;F" id="25"/>
    <tableColumn name="Technische Projektbewertung F&amp;F" id="26"/>
    <tableColumn name="Wirtschaftliche Projektbewertung F&amp;F" id="27"/>
    <tableColumn name="Statik_x000a_F&amp;F" id="28"/>
    <tableColumn name="Brandschutz- konzept" id="29"/>
    <tableColumn name="Flur-/ Lageplan" id="30"/>
    <tableColumn name="Gesamt-_x000a_Dachfläche_x000a_qm" id="31"/>
    <tableColumn name="Vergabereif" id="32"/>
    <tableColumn name="Dienstbarkeit" id="33"/>
    <tableColumn name="Status FLB_x000a_F&amp;F" id="34"/>
    <tableColumn name="FLB F&amp;F" id="35"/>
    <tableColumn name="Vermarkter" id="36"/>
    <tableColumn name="Indikativ-_x000a_Angebote" id="37"/>
    <tableColumn name="GU Status" id="38"/>
    <tableColumn name="Beauftragter GU" id="39"/>
    <tableColumn name="Realisierungsfortschritt" id="40"/>
    <tableColumn name="Auftr.-_x000a_Wahrsch." id="41"/>
    <tableColumn name="Gesamt- marge €" id="42"/>
    <tableColumn name="Marge_x000a_€/kWp" id="43"/>
    <tableColumn name="Art der Marge" id="44"/>
    <tableColumn name="aktueller Projekt u. Finanzstatus" id="45"/>
    <tableColumn name="vorrauss. Verkaufsbereit" id="46"/>
    <tableColumn name="1. Anzahlung" id="47"/>
    <tableColumn name="1. Anz._x000a_erh." id="48"/>
    <tableColumn name="vorrauss._x000a_Vergabe an GU" id="49"/>
    <tableColumn name="vorrauss._x000a_Montagestart" id="50"/>
    <tableColumn name="2. Zahlung" id="51"/>
    <tableColumn name="2. Zah._x000a_erh." id="52"/>
    <tableColumn name="vorrauss._x000a_DC abges." id="53"/>
    <tableColumn name="3. Zahlung" id="54"/>
    <tableColumn name="3. Zah._x000a_erh." id="55"/>
    <tableColumn name="vorrauss._x000a_AC abges." id="56"/>
    <tableColumn name="Schlusszahlung" id="57"/>
    <tableColumn name="Schz. _x000a_erh." id="58"/>
    <tableColumn name="vorrauss._x000a_Netzgang" id="59"/>
    <tableColumn name="Hinweise/ Notizen u. Bemerkungen zu Makler, Pacht u. weiteren Vertragsangelegnheiten" id="60"/>
    <tableColumn name="Hinweise/ Notizen u. Bemerkungen zur Projektierung" id="61"/>
    <tableColumn name="nächste Schritte" id="62"/>
  </tableColumns>
  <tableStyleInfo name="Übersicht beauftr. Projekt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document/d/1hdtfke2ky_-nzJEWzGZ4sRJHk_d8xS8SkKkQuOzmZzo/edit?usp=sharing" TargetMode="External"/><Relationship Id="rId10" Type="http://schemas.openxmlformats.org/officeDocument/2006/relationships/hyperlink" Target="https://drive.google.com/file/d/1TvFC_T_-a5wBCDWTuRRaCzTze-_Bt3eD/view?usp=drive_link" TargetMode="External"/><Relationship Id="rId13" Type="http://schemas.openxmlformats.org/officeDocument/2006/relationships/vmlDrawing" Target="../drawings/vmlDrawing1.vml"/><Relationship Id="rId12" Type="http://schemas.openxmlformats.org/officeDocument/2006/relationships/drawing" Target="../drawings/drawing1.xml"/><Relationship Id="rId1" Type="http://schemas.openxmlformats.org/officeDocument/2006/relationships/comments" Target="../comments1.xml"/><Relationship Id="rId2" Type="http://schemas.openxmlformats.org/officeDocument/2006/relationships/hyperlink" Target="https://drive.google.com/open?id=10hBlS6hrtCIwjDwDCi-j-Ix20623T0E1&amp;usp=drive_fs" TargetMode="External"/><Relationship Id="rId3" Type="http://schemas.openxmlformats.org/officeDocument/2006/relationships/hyperlink" Target="https://www.bing.com/maps?cp=52.510372%7E11.742121&amp;lvl=20.1&amp;style=h" TargetMode="External"/><Relationship Id="rId4" Type="http://schemas.openxmlformats.org/officeDocument/2006/relationships/hyperlink" Target="https://earth.google.com/web/search/molkereiweg+6+l%c3%bcderitz/@52.51025264,11.74238278,47.95198362a,223.94379604d,35y,0h,0t,0r/data=CoYBGlgSUgolMHg0N2FmM2U1M2QzYmIxMjBkOjB4OGNlNjQ4NjFlYzE2N2IzMxkS4E_oUEFKQCHYVv1bE3wnQCoXbW9sa2VyZWl3ZWcgNiBsw7xkZXJpdHoYAiABIiYKJAkdXn4BqwJLQBG1ppJETgJLQBmq5NcS4kopQCHbmWJmCkQpQEICCAE6AwoBMEICCABKDQj___________8BEAA?authuser=0" TargetMode="External"/><Relationship Id="rId9" Type="http://schemas.openxmlformats.org/officeDocument/2006/relationships/hyperlink" Target="https://drive.google.com/file/d/1Dn_Ot7AN5uhErXRfX3Up3RA4VeNmJ7vC/view?usp=drive_link" TargetMode="External"/><Relationship Id="rId15" Type="http://schemas.openxmlformats.org/officeDocument/2006/relationships/table" Target="../tables/table1.xml"/><Relationship Id="rId5" Type="http://schemas.openxmlformats.org/officeDocument/2006/relationships/hyperlink" Target="https://drive.google.com/open?id=171q1FzZMVgJKvm355s_6U0r7vD681yq5&amp;usp=drive_fs" TargetMode="External"/><Relationship Id="rId6" Type="http://schemas.openxmlformats.org/officeDocument/2006/relationships/hyperlink" Target="https://docs.google.com/spreadsheets/d/1kzv_9qvG8OJjEUEcwjxQH6btqQYQNV3H/edit?usp=drive_link&amp;ouid=102459999061338834495&amp;rtpof=true&amp;sd=true" TargetMode="External"/><Relationship Id="rId7" Type="http://schemas.openxmlformats.org/officeDocument/2006/relationships/hyperlink" Target="https://docs.google.com/presentation/d/1mKy7g3mZ9dsZ_tc8C0DMpj3R6HQWsIxY?rtpof=true&amp;usp=drive_fs" TargetMode="External"/><Relationship Id="rId8" Type="http://schemas.openxmlformats.org/officeDocument/2006/relationships/hyperlink" Target="https://drive.google.com/file/d/1zFm94y3QIYvomjeoFiYLPJo881z67Zrl/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outlineLevelCol="1"/>
  <cols>
    <col customWidth="1" min="1" max="1" width="20.13"/>
    <col collapsed="1" customWidth="1" min="2" max="2" width="20.13"/>
    <col customWidth="1" hidden="1" min="3" max="3" width="11.13" outlineLevel="1"/>
    <col customWidth="1" hidden="1" min="4" max="4" width="13.88" outlineLevel="1"/>
    <col customWidth="1" hidden="1" min="5" max="5" width="12.25" outlineLevel="1"/>
    <col customWidth="1" hidden="1" min="6" max="6" width="18.63" outlineLevel="1"/>
    <col customWidth="1" min="7" max="8" width="10.13"/>
    <col customWidth="1" min="9" max="9" width="19.88"/>
    <col customWidth="1" min="10" max="10" width="24.0"/>
    <col customWidth="1" min="11" max="11" width="17.75"/>
    <col customWidth="1" hidden="1" min="12" max="12" width="20.88"/>
    <col customWidth="1" hidden="1" min="13" max="13" width="17.75"/>
    <col customWidth="1" min="14" max="14" width="13.38"/>
    <col customWidth="1" min="15" max="15" width="16.38"/>
    <col customWidth="1" min="16" max="16" width="12.25"/>
    <col customWidth="1" min="17" max="17" width="15.13"/>
    <col customWidth="1" hidden="1" min="18" max="18" width="9.0"/>
    <col customWidth="1" hidden="1" min="19" max="19" width="15.13"/>
    <col customWidth="1" hidden="1" min="20" max="20" width="16.38"/>
    <col customWidth="1" min="21" max="21" width="16.38"/>
    <col customWidth="1" min="22" max="22" width="18.88"/>
    <col customWidth="1" min="23" max="23" width="17.88"/>
    <col customWidth="1" min="24" max="24" width="15.75"/>
    <col customWidth="1" min="25" max="25" width="16.0"/>
    <col customWidth="1" min="26" max="26" width="18.88"/>
    <col customWidth="1" min="27" max="27" width="19.75"/>
    <col collapsed="1" customWidth="1" min="28" max="28" width="16.75"/>
    <col customWidth="1" hidden="1" min="29" max="29" width="17.63" outlineLevel="1"/>
    <col customWidth="1" hidden="1" min="30" max="30" width="12.63" outlineLevel="1"/>
    <col customWidth="1" hidden="1" min="31" max="32" width="15.13" outlineLevel="1"/>
    <col customWidth="1" hidden="1" min="33" max="33" width="15.75" outlineLevel="1"/>
    <col customWidth="1" min="34" max="34" width="16.88"/>
    <col customWidth="1" min="35" max="36" width="17.63"/>
    <col customWidth="1" min="37" max="37" width="22.63"/>
    <col customWidth="1" min="38" max="39" width="17.63"/>
    <col customWidth="1" min="40" max="40" width="25.13"/>
    <col customWidth="1" min="41" max="41" width="12.5"/>
    <col customWidth="1" min="42" max="44" width="13.88" outlineLevel="1"/>
    <col customWidth="1" min="45" max="47" width="18.88" outlineLevel="1"/>
    <col customWidth="1" min="48" max="48" width="8.25" outlineLevel="1"/>
    <col customWidth="1" min="49" max="51" width="18.88" outlineLevel="1"/>
    <col customWidth="1" min="52" max="52" width="8.25" outlineLevel="1"/>
    <col customWidth="1" min="53" max="54" width="18.88" outlineLevel="1"/>
    <col customWidth="1" min="55" max="55" width="8.88" outlineLevel="1"/>
    <col customWidth="1" min="56" max="57" width="18.88" outlineLevel="1"/>
    <col customWidth="1" min="58" max="58" width="8.88" outlineLevel="1"/>
    <col customWidth="1" min="59" max="59" width="18.88" outlineLevel="1"/>
    <col customWidth="1" min="60" max="60" width="68.88"/>
    <col customWidth="1" min="61" max="61" width="94.63"/>
    <col customWidth="1" min="62" max="62" width="68.88"/>
  </cols>
  <sheetData>
    <row r="1" ht="33.75" customHeight="1">
      <c r="A1" s="1"/>
      <c r="B1" s="2" t="s">
        <v>0</v>
      </c>
      <c r="G1" s="3" t="s">
        <v>1</v>
      </c>
      <c r="L1" s="4"/>
      <c r="M1" s="4"/>
      <c r="N1" s="3" t="s">
        <v>2</v>
      </c>
      <c r="S1" s="3" t="s">
        <v>3</v>
      </c>
      <c r="U1" s="3" t="s">
        <v>4</v>
      </c>
      <c r="Y1" s="5" t="s">
        <v>5</v>
      </c>
      <c r="AJ1" s="3" t="s">
        <v>6</v>
      </c>
      <c r="AN1" s="6" t="s">
        <v>7</v>
      </c>
      <c r="BH1" s="3" t="s">
        <v>8</v>
      </c>
      <c r="BJ1" s="3"/>
    </row>
    <row r="2" ht="49.5" customHeight="1">
      <c r="A2" s="7" t="s">
        <v>9</v>
      </c>
      <c r="B2" s="8" t="s">
        <v>10</v>
      </c>
      <c r="C2" s="9" t="s">
        <v>11</v>
      </c>
      <c r="D2" s="7" t="s">
        <v>12</v>
      </c>
      <c r="E2" s="10" t="s">
        <v>13</v>
      </c>
      <c r="F2" s="7" t="s">
        <v>14</v>
      </c>
      <c r="G2" s="9" t="s">
        <v>15</v>
      </c>
      <c r="H2" s="9" t="s">
        <v>16</v>
      </c>
      <c r="I2" s="8" t="s">
        <v>17</v>
      </c>
      <c r="J2" s="9" t="s">
        <v>18</v>
      </c>
      <c r="K2" s="9" t="s">
        <v>19</v>
      </c>
      <c r="L2" s="9" t="s">
        <v>20</v>
      </c>
      <c r="M2" s="9" t="s">
        <v>21</v>
      </c>
      <c r="N2" s="9" t="s">
        <v>22</v>
      </c>
      <c r="O2" s="9" t="s">
        <v>23</v>
      </c>
      <c r="P2" s="9" t="s">
        <v>24</v>
      </c>
      <c r="Q2" s="8" t="s">
        <v>25</v>
      </c>
      <c r="R2" s="9" t="s">
        <v>26</v>
      </c>
      <c r="S2" s="8" t="s">
        <v>27</v>
      </c>
      <c r="T2" s="8" t="s">
        <v>28</v>
      </c>
      <c r="U2" s="9" t="s">
        <v>29</v>
      </c>
      <c r="V2" s="8" t="s">
        <v>30</v>
      </c>
      <c r="W2" s="9" t="s">
        <v>31</v>
      </c>
      <c r="X2" s="9" t="s">
        <v>32</v>
      </c>
      <c r="Y2" s="11" t="s">
        <v>33</v>
      </c>
      <c r="Z2" s="9" t="s">
        <v>34</v>
      </c>
      <c r="AA2" s="9" t="s">
        <v>35</v>
      </c>
      <c r="AB2" s="9" t="s">
        <v>36</v>
      </c>
      <c r="AC2" s="9" t="s">
        <v>37</v>
      </c>
      <c r="AD2" s="9" t="s">
        <v>38</v>
      </c>
      <c r="AE2" s="9" t="s">
        <v>39</v>
      </c>
      <c r="AF2" s="9" t="s">
        <v>40</v>
      </c>
      <c r="AG2" s="9" t="s">
        <v>41</v>
      </c>
      <c r="AH2" s="8" t="s">
        <v>42</v>
      </c>
      <c r="AI2" s="9" t="s">
        <v>43</v>
      </c>
      <c r="AJ2" s="9" t="s">
        <v>44</v>
      </c>
      <c r="AK2" s="9" t="s">
        <v>45</v>
      </c>
      <c r="AL2" s="9" t="s">
        <v>46</v>
      </c>
      <c r="AM2" s="9" t="s">
        <v>47</v>
      </c>
      <c r="AN2" s="8" t="s">
        <v>48</v>
      </c>
      <c r="AO2" s="9" t="s">
        <v>49</v>
      </c>
      <c r="AP2" s="9" t="s">
        <v>50</v>
      </c>
      <c r="AQ2" s="9" t="s">
        <v>51</v>
      </c>
      <c r="AR2" s="8" t="s">
        <v>52</v>
      </c>
      <c r="AS2" s="12" t="s">
        <v>53</v>
      </c>
      <c r="AT2" s="12" t="s">
        <v>54</v>
      </c>
      <c r="AU2" s="12" t="s">
        <v>55</v>
      </c>
      <c r="AV2" s="13" t="s">
        <v>56</v>
      </c>
      <c r="AW2" s="12" t="s">
        <v>57</v>
      </c>
      <c r="AX2" s="12" t="s">
        <v>58</v>
      </c>
      <c r="AY2" s="12" t="s">
        <v>59</v>
      </c>
      <c r="AZ2" s="13" t="s">
        <v>60</v>
      </c>
      <c r="BA2" s="14" t="s">
        <v>61</v>
      </c>
      <c r="BB2" s="12" t="s">
        <v>62</v>
      </c>
      <c r="BC2" s="13" t="s">
        <v>63</v>
      </c>
      <c r="BD2" s="14" t="s">
        <v>64</v>
      </c>
      <c r="BE2" s="12" t="s">
        <v>65</v>
      </c>
      <c r="BF2" s="13" t="s">
        <v>66</v>
      </c>
      <c r="BG2" s="14" t="s">
        <v>67</v>
      </c>
      <c r="BH2" s="9" t="s">
        <v>68</v>
      </c>
      <c r="BI2" s="9" t="s">
        <v>69</v>
      </c>
      <c r="BJ2" s="9" t="s">
        <v>70</v>
      </c>
    </row>
    <row r="3" ht="22.5" customHeight="1">
      <c r="A3" s="15" t="s">
        <v>71</v>
      </c>
      <c r="B3" s="15" t="s">
        <v>72</v>
      </c>
      <c r="C3" s="16" t="s">
        <v>73</v>
      </c>
      <c r="D3" s="17" t="s">
        <v>74</v>
      </c>
      <c r="E3" s="18"/>
      <c r="F3" s="17"/>
      <c r="G3" s="19"/>
      <c r="H3" s="20" t="s">
        <v>75</v>
      </c>
      <c r="I3" s="21" t="s">
        <v>76</v>
      </c>
      <c r="J3" s="22" t="s">
        <v>77</v>
      </c>
      <c r="K3" s="21" t="s">
        <v>78</v>
      </c>
      <c r="L3" s="23"/>
      <c r="M3" s="23"/>
      <c r="N3" s="24">
        <v>58.58</v>
      </c>
      <c r="O3" s="25" t="s">
        <v>79</v>
      </c>
      <c r="P3" s="26">
        <v>264.0</v>
      </c>
      <c r="Q3" s="27" t="s">
        <v>80</v>
      </c>
      <c r="R3" s="28">
        <f>P3/N3</f>
        <v>4.506657562</v>
      </c>
      <c r="S3" s="29" t="s">
        <v>81</v>
      </c>
      <c r="T3" s="29" t="s">
        <v>81</v>
      </c>
      <c r="U3" s="30" t="s">
        <v>82</v>
      </c>
      <c r="V3" s="25" t="s">
        <v>83</v>
      </c>
      <c r="W3" s="25" t="s">
        <v>84</v>
      </c>
      <c r="X3" s="31" t="s">
        <v>85</v>
      </c>
      <c r="Y3" s="32" t="s">
        <v>86</v>
      </c>
      <c r="Z3" s="20" t="s">
        <v>87</v>
      </c>
      <c r="AA3" s="25" t="s">
        <v>88</v>
      </c>
      <c r="AB3" s="20" t="s">
        <v>86</v>
      </c>
      <c r="AC3" s="33"/>
      <c r="AD3" s="33"/>
      <c r="AE3" s="34"/>
      <c r="AF3" s="35"/>
      <c r="AG3" s="35"/>
      <c r="AH3" s="36" t="s">
        <v>79</v>
      </c>
      <c r="AI3" s="37" t="s">
        <v>89</v>
      </c>
      <c r="AJ3" s="38" t="s">
        <v>90</v>
      </c>
      <c r="AK3" s="38" t="s">
        <v>81</v>
      </c>
      <c r="AL3" s="39" t="s">
        <v>91</v>
      </c>
      <c r="AM3" s="40"/>
      <c r="AN3" s="41" t="s">
        <v>92</v>
      </c>
      <c r="AO3" s="42">
        <v>1.0</v>
      </c>
      <c r="AP3" s="43">
        <v>1.0</v>
      </c>
      <c r="AQ3" s="44">
        <f>IF(OR(AP3="",P3=""),"",AP3/P3)</f>
        <v>0.003787878788</v>
      </c>
      <c r="AR3" s="39" t="s">
        <v>93</v>
      </c>
      <c r="AS3" s="39" t="s">
        <v>94</v>
      </c>
      <c r="AT3" s="45">
        <v>45870.0</v>
      </c>
      <c r="AU3" s="46">
        <v>1.0</v>
      </c>
      <c r="AV3" s="47" t="b">
        <v>0</v>
      </c>
      <c r="AW3" s="48">
        <v>45962.0</v>
      </c>
      <c r="AX3" s="49" t="str">
        <f>IF(ISBLANK(AT3),"",TEXT(EDATE(AW3,1),"MMMM.YYYY"))
</f>
        <v>Dezember.2025</v>
      </c>
      <c r="AY3" s="50"/>
      <c r="AZ3" s="51" t="b">
        <v>0</v>
      </c>
      <c r="BA3" s="52" t="str">
        <f>IF(ISBLANK(AT3),"",TEXT(EDATE(AX3,1),"MMMM.YYYY"))
</f>
        <v>Januar.2026</v>
      </c>
      <c r="BB3" s="53"/>
      <c r="BC3" s="54" t="b">
        <v>0</v>
      </c>
      <c r="BD3" s="55" t="str">
        <f>IF(ISBLANK(AT3),"",TEXT(EDATE(BA3,1.5),"MMMM.YYYY"))
</f>
        <v>Februar.2026</v>
      </c>
      <c r="BE3" s="56"/>
      <c r="BF3" s="57" t="b">
        <v>0</v>
      </c>
      <c r="BG3" s="58" t="str">
        <f>IF(ISBLANK(AT3),"",TEXT(EDATE(BD3,1),"MMMM.YYYY"))
</f>
        <v>März.2026</v>
      </c>
      <c r="BH3" s="59"/>
      <c r="BI3" s="60" t="s">
        <v>95</v>
      </c>
      <c r="BJ3" s="60" t="s">
        <v>96</v>
      </c>
    </row>
  </sheetData>
  <mergeCells count="9">
    <mergeCell ref="AN1:BG1"/>
    <mergeCell ref="BH1:BI1"/>
    <mergeCell ref="B1:F1"/>
    <mergeCell ref="G1:K1"/>
    <mergeCell ref="N1:R1"/>
    <mergeCell ref="S1:T1"/>
    <mergeCell ref="U1:X1"/>
    <mergeCell ref="Y1:AI1"/>
    <mergeCell ref="AJ1:AM1"/>
  </mergeCells>
  <conditionalFormatting sqref="V3">
    <cfRule type="containsText" dxfId="0" priority="1" operator="containsText" text="kritisch">
      <formula>NOT(ISERROR(SEARCH(("kritisch"),(V3))))</formula>
    </cfRule>
  </conditionalFormatting>
  <conditionalFormatting sqref="V3:W3">
    <cfRule type="cellIs" dxfId="1" priority="2" operator="equal">
      <formula>"Pacht abgelehnt"</formula>
    </cfRule>
  </conditionalFormatting>
  <conditionalFormatting sqref="V3:W3">
    <cfRule type="cellIs" dxfId="0" priority="3" operator="equal">
      <formula>"Pacht kritisch"</formula>
    </cfRule>
  </conditionalFormatting>
  <conditionalFormatting sqref="A3">
    <cfRule type="expression" dxfId="2" priority="4">
      <formula>$I3="schriftl. beauftragt"</formula>
    </cfRule>
  </conditionalFormatting>
  <conditionalFormatting sqref="A3">
    <cfRule type="expression" dxfId="3" priority="5">
      <formula>$I3="mündl. beauftragt"</formula>
    </cfRule>
  </conditionalFormatting>
  <conditionalFormatting sqref="A3">
    <cfRule type="expression" dxfId="0" priority="6">
      <formula>$I3="fortge. Sales Prozess"</formula>
    </cfRule>
  </conditionalFormatting>
  <conditionalFormatting sqref="A3">
    <cfRule type="expression" dxfId="4" priority="7">
      <formula>$I3="Sales Pipeline"</formula>
    </cfRule>
  </conditionalFormatting>
  <conditionalFormatting sqref="AP3">
    <cfRule type="expression" dxfId="1" priority="8">
      <formula>AND(COUNT(AU3,AY3,BB3,BE3)&gt;0,AP3&lt;&gt;AU3+AY3+BB3+BE3)</formula>
    </cfRule>
  </conditionalFormatting>
  <dataValidations>
    <dataValidation type="list" allowBlank="1" sqref="AO3">
      <formula1>"5%,10%,20%,30%,40%,50%,60%,70%,80%,90%,100%"</formula1>
    </dataValidation>
    <dataValidation type="list" allowBlank="1" sqref="V3">
      <formula1>"Kein Interesse,Interesse,Unklar,Grundsätzlich positiv,Interesse vorhanden, aber noch unsicher,Rückmeldung ausstehend,Möchte später entscheiden,Nur bei bestimmten Bedingungen interessiert,Positiv"</formula1>
    </dataValidation>
    <dataValidation type="list" allowBlank="1" sqref="Q3">
      <formula1>"geschätzt,PV Sol"</formula1>
    </dataValidation>
    <dataValidation type="list" allowBlank="1" sqref="K3">
      <formula1>"Offen,In Bearbeitung,In Verhandlung,Verkaufsbereit,Verkauft,Abgeschlossen,On Hold,Storniert,Warten auf Rückmeldung"</formula1>
    </dataValidation>
    <dataValidation type="list" allowBlank="1" sqref="G3">
      <formula1>"FMD,EB,DB,MS,TT"</formula1>
    </dataValidation>
    <dataValidation type="list" allowBlank="1" sqref="L3">
      <formula1>"erstellt &amp; verschickt,unterschrieben"</formula1>
    </dataValidation>
    <dataValidation type="list" allowBlank="1" sqref="AW3">
      <formula1>"=Heute,September.2025,Oktober.2025,November.2025,Dezember.2025,Januar.2026,Februar.2026,März.2026,April.2026,Mai.2026,Juni.2026,Juli.2026,August.2026,September.2026,Oktober.2026,November.2026,Dezember.2026"</formula1>
    </dataValidation>
    <dataValidation allowBlank="1" showDropDown="1" sqref="F3"/>
    <dataValidation type="list" allowBlank="1" sqref="H3">
      <formula1>"BW,CD,YA,RK,IN,MT,CD &amp; RK"</formula1>
    </dataValidation>
    <dataValidation type="list" allowBlank="1" sqref="AS3">
      <formula1>"Liqui Planung,an Invest. verkauft,1. Anzahlung,2. Zahlung,3. Zahlung,Schlussrechnung,Problem! Rückzahlung notw."</formula1>
    </dataValidation>
    <dataValidation type="list" allowBlank="1" sqref="J3">
      <formula1>"PV-Neubau,PV-Repowering,Anlagenverkauf,Machbarkeitsprüfung,Projektentwicklung,Projektrechte verkauf "</formula1>
    </dataValidation>
    <dataValidation type="list" allowBlank="1" sqref="Y3">
      <formula1>"in Vorklärung,Nicht erforderlich,Offen,Angefragt,Mündlich vorh.,Schriftlich vorh.,Bedingt schriftl. vorh."</formula1>
    </dataValidation>
    <dataValidation type="list" allowBlank="1" sqref="AA3">
      <formula1>"Beurteilung noch offen,Wirtschaftlich attrakriv,Wirtschaftlich fragwürdig,Nicht umsetzbar,Weiter Prüfungen notwendig"</formula1>
    </dataValidation>
    <dataValidation allowBlank="1" showDropDown="1" sqref="BH3"/>
    <dataValidation type="list" allowBlank="1" sqref="AN3">
      <formula1>"15% interessantes Projekt,25% mündliche Zusage,50% schriftl. Vertrag,75% Statik &amp; EVU positiv,90% wirtschaftl. &amp; in Sales,95% im Bau,100% SR gestellt"</formula1>
    </dataValidation>
    <dataValidation type="custom" allowBlank="1" showDropDown="1" sqref="N3 R3">
      <formula1>AND(ISNUMBER(N3),(NOT(OR(NOT(ISERROR(DATEVALUE(N3))), AND(ISNUMBER(N3), LEFT(CELL("format", N3))="D")))))</formula1>
    </dataValidation>
    <dataValidation type="list" allowBlank="1" sqref="AL3">
      <formula1>"Projektrechte,Ind. Angeb. angefr.,Ind. Angeb. erh.,Fin. Angeb.angefr.,Fin. Angeb. erh.,Gu Beauftragt"</formula1>
    </dataValidation>
    <dataValidation type="list" allowBlank="1" sqref="AT3 AX3 BA3 BD3 BG3">
      <formula1>"August.2025,September.2025,Oktober.2025,November.2025,Dezember.2025,Januar.2026,Februar.2026,März.2026,April.2026,Mai.2026,Juni.2026,Juli.2026,August.2026,September.2026,Oktober.2026,November.2026,Dezember.2026"</formula1>
    </dataValidation>
    <dataValidation type="list" allowBlank="1" sqref="I3">
      <formula1>"schriftl. beauftragt,mündl. beauftragt,fortge. Sales Prozess,Sales Pipeline"</formula1>
    </dataValidation>
    <dataValidation type="list" allowBlank="1" sqref="Z3">
      <formula1>"Beurteilung noch offen,Technisch attraktiv,Technisch fraglich,Technisch komplex,Weitere Prüfung notwendig,Nicht umsetzbar,Projekt entfällt"</formula1>
    </dataValidation>
    <dataValidation type="list" allowBlank="1" sqref="AB3">
      <formula1>"Offen,Anfrage Bauamt,Achtung!,entfällt,Mündlich vorh.,Schriftlich vorh."</formula1>
    </dataValidation>
    <dataValidation allowBlank="1" showDropDown="1" sqref="A3 C3 AF3"/>
    <dataValidation type="list" allowBlank="1" sqref="AR3">
      <formula1>"geschätzte Marge,verbindliche Marge"</formula1>
    </dataValidation>
    <dataValidation type="list" allowBlank="1" sqref="O3">
      <formula1>"Offen,In Bearbeitung,Überarbeitung Notwendig,Fertiggestellt"</formula1>
    </dataValidation>
    <dataValidation type="list" allowBlank="1" sqref="S3:T3">
      <formula1>"Offen,In Bearbeitung,Fertiggestellt,aktuell nicht erforderlich"</formula1>
    </dataValidation>
    <dataValidation type="list" allowBlank="1" sqref="W3">
      <formula1>"Offen,In Bearbeitung,Einsch. TT pos.,Angefragt,Mündl. zugesagt,Absichtserklärung untz.,Pachtver. versendet,Pachtver. Schriftlich vorh.,Pacht kritisch,Pacht abgelehnt,entfällt"</formula1>
    </dataValidation>
    <dataValidation type="list" allowBlank="1" sqref="M3">
      <formula1>"offen,erstellt &amp; verschickt,Unterschrift steht aus,Unterschrieben erhalten"</formula1>
    </dataValidation>
    <dataValidation type="list" allowBlank="1" sqref="AH3">
      <formula1>"Offen,In Bearbeitung,Überarbeitung Notwendig,Fertiggestellt,entfällt"</formula1>
    </dataValidation>
  </dataValidations>
  <hyperlinks>
    <hyperlink r:id="rId2" ref="A3"/>
    <hyperlink r:id="rId3" ref="B3"/>
    <hyperlink r:id="rId4" ref="C3"/>
    <hyperlink r:id="rId5" ref="P3"/>
    <hyperlink r:id="rId6" ref="S3"/>
    <hyperlink r:id="rId7" ref="T3"/>
    <hyperlink r:id="rId8" ref="U3"/>
    <hyperlink r:id="rId9" ref="X3"/>
    <hyperlink r:id="rId10" ref="Y3"/>
    <hyperlink r:id="rId11" ref="AI3"/>
  </hyperlinks>
  <drawing r:id="rId12"/>
  <legacyDrawing r:id="rId13"/>
  <tableParts count="1">
    <tablePart r:id="rId15"/>
  </tableParts>
</worksheet>
</file>